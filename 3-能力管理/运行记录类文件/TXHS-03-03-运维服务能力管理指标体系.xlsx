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8" windowHeight="7787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<sst xmlns="http://schemas.openxmlformats.org/spreadsheetml/2006/main" count="211" uniqueCount="126">
  <si>
    <t xml:space="preserve">运维服务能力管理指标体系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</si>
  <si>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</si>
  <si>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</si>
  <si>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</si>
  <si>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</si>
  <si>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</si>
  <si>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</si>
  <si>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</si>
  <si>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</si>
  <si>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</si>
  <si>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</si>
  <si>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</si>
  <si>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质量管理部</t>
  </si>
  <si>
    <t>客户投诉次数</t>
  </si>
  <si>
    <t>≤2次</t>
  </si>
  <si>
    <t>每年客户投诉数量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</si>
  <si>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</si>
  <si>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</si>
  <si>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</si>
  <si>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</si>
  <si>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</si>
  <si>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</si>
  <si>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运维部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</si>
  <si>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</si>
  <si>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</si>
  <si>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</si>
  <si>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</si>
  <si>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</si>
  <si>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</si>
  <si>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人力资源部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</si>
  <si>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</si>
  <si>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</si>
  <si>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</si>
  <si>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</si>
  <si>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</si>
  <si>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</si>
  <si>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</si>
  <si>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</si>
  <si>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</si>
  <si>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</si>
  <si>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</si>
  <si>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</si>
  <si>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技能评定</t>
  </si>
  <si>
    <t>技能评定覆盖率</t>
  </si>
  <si>
    <t>≥80%</t>
  </si>
  <si>
    <t>实际进行技能评定的人数/应进行技能评定的人数*100%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</si>
  <si>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</si>
  <si>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</si>
  <si>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</si>
  <si>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</si>
  <si>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</si>
  <si>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</si>
  <si>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</si>
  <si>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</si>
  <si>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</si>
  <si>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</si>
  <si>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</si>
  <si>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</si>
  <si>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</si>
  <si>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</si>
  <si>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</si>
  <si>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</si>
  <si>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</si>
  <si>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</si>
  <si>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</si>
  <si>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</si>
  <si>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</si>
  <si>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</si>
  <si>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</si>
  <si>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</si>
  <si>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</si>
  <si>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</si>
  <si>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</si>
  <si>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</si>
  <si>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</si>
  <si>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</si>
  <si>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</si>
  <si>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</si>
  <si>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</si>
  <si>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</si>
  <si>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</si>
  <si>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</si>
  <si>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</si>
  <si>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</si>
  <si>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</si>
  <si>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</si>
  <si>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</si>
  <si>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</si>
  <si>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</si>
  <si>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</si>
  <si>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</si>
  <si>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</si>
  <si>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</si>
  <si>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研发部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</si>
  <si>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</si>
  <si>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</si>
  <si>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</si>
  <si>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</si>
  <si>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</si>
  <si>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</si>
  <si>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</si>
  <si>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</si>
  <si>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</si>
  <si>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</si>
  <si>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备件库</t>
  </si>
  <si>
    <t>备件可用率</t>
  </si>
  <si>
    <r>
      <rPr>
        <sz val="10.5"/>
        <color indexed="8"/>
        <rFont val="宋体"/>
        <charset val="134"/>
      </rPr>
      <t>（领用备件完好数量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领用备件总数）</t>
    </r>
    <r>
      <rPr>
        <sz val="12"/>
        <color rgb="FF000000"/>
        <rFont val="Arial"/>
        <charset val="134"/>
      </rPr>
      <t>× 100%</t>
    </r>
  </si>
  <si>
    <t>备件出入库准确率</t>
  </si>
  <si>
    <r>
      <rPr>
        <sz val="10.5"/>
        <color indexed="8"/>
        <rFont val="宋体"/>
        <charset val="134"/>
      </rPr>
      <t>（准确出入库记录数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总出入库记录数）</t>
    </r>
    <r>
      <rPr>
        <sz val="12"/>
        <color rgb="FF000000"/>
        <rFont val="Arial"/>
        <charset val="134"/>
      </rPr>
      <t>× 100%</t>
    </r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</si>
  <si>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</si>
  <si>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</si>
  <si>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</si>
  <si>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</si>
  <si>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</si>
  <si>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</si>
  <si>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</si>
  <si>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</si>
  <si>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</si>
  <si>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≥3次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</si>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</sst>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Protection="0"/>
    <xf numFmtId="44" fontId="4" fillId="0" borderId="0" applyFont="0" applyFill="0" applyBorder="0" applyProtection="0"/>
    <xf numFmtId="9" fontId="4" fillId="0" borderId="0" applyFont="0" applyFill="0" applyBorder="0" applyProtection="0"/>
    <xf numFmtId="41" fontId="4" fillId="0" borderId="0" applyFont="0" applyFill="0" applyBorder="0" applyProtection="0"/>
    <xf numFmtId="42" fontId="4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4" fillId="6" borderId="4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5" applyNumberFormat="0" applyFill="0" applyProtection="0"/>
    <xf numFmtId="0" fontId="11" fillId="0" borderId="5" applyNumberFormat="0" applyFill="0" applyProtection="0"/>
    <xf numFmtId="0" fontId="12" fillId="0" borderId="6" applyNumberFormat="0" applyFill="0" applyProtection="0"/>
    <xf numFmtId="0" fontId="12" fillId="0" borderId="0" applyNumberFormat="0" applyFill="0" applyBorder="0" applyProtection="0"/>
    <xf numFmtId="0" fontId="13" fillId="7" borderId="7" applyNumberFormat="0" applyProtection="0"/>
    <xf numFmtId="0" fontId="14" fillId="8" borderId="8" applyNumberFormat="0" applyProtection="0"/>
    <xf numFmtId="0" fontId="15" fillId="8" borderId="7" applyNumberFormat="0" applyProtection="0"/>
    <xf numFmtId="0" fontId="16" fillId="9" borderId="9" applyNumberFormat="0" applyProtection="0"/>
    <xf numFmtId="0" fontId="17" fillId="0" borderId="10" applyNumberFormat="0" applyFill="0" applyProtection="0"/>
    <xf numFmtId="0" fontId="18" fillId="0" borderId="11" applyNumberFormat="0" applyFill="0" applyProtection="0"/>
    <xf numFmtId="0" fontId="19" fillId="10" borderId="0" applyNumberFormat="0" applyBorder="0" applyProtection="0"/>
    <xf numFmtId="0" fontId="20" fillId="11" borderId="0" applyNumberFormat="0" applyBorder="0" applyProtection="0"/>
    <xf numFmtId="0" fontId="21" fillId="12" borderId="0" applyNumberFormat="0" applyBorder="0" applyProtection="0"/>
    <xf numFmtId="0" fontId="22" fillId="13" borderId="0" applyNumberFormat="0" applyBorder="0" applyProtection="0"/>
    <xf numFmtId="0" fontId="4" fillId="14" borderId="0" applyNumberFormat="0" applyBorder="0" applyProtection="0"/>
    <xf numFmtId="0" fontId="4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4" fillId="18" borderId="0" applyNumberFormat="0" applyBorder="0" applyProtection="0"/>
    <xf numFmtId="0" fontId="4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4" fillId="22" borderId="0" applyNumberFormat="0" applyBorder="0" applyProtection="0"/>
    <xf numFmtId="0" fontId="4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4" fillId="26" borderId="0" applyNumberFormat="0" applyBorder="0" applyProtection="0"/>
    <xf numFmtId="0" fontId="4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4" fillId="30" borderId="0" applyNumberFormat="0" applyBorder="0" applyProtection="0"/>
    <xf numFmtId="0" fontId="4" fillId="31" borderId="0" applyNumberFormat="0" applyBorder="0" applyProtection="0"/>
    <xf numFmtId="0" fontId="22" fillId="32" borderId="0" applyNumberFormat="0" applyBorder="0" applyProtection="0"/>
    <xf numFmtId="0" fontId="22" fillId="33" borderId="0" applyNumberFormat="0" applyBorder="0" applyProtection="0"/>
    <xf numFmtId="0" fontId="4" fillId="34" borderId="0" applyNumberFormat="0" applyBorder="0" applyProtection="0"/>
    <xf numFmtId="0" fontId="4" fillId="35" borderId="0" applyNumberFormat="0" applyBorder="0" applyProtection="0"/>
    <xf numFmtId="0" fontId="22" fillId="36" borderId="0" applyNumberFormat="0" applyBorder="0" applyProtection="0"/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2"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3" borderId="1" xfId="49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9" fontId="3" fillId="5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69215</xdr:colOff>
      <xdr:row>3</xdr:row>
      <xdr:rowOff>34290</xdr:rowOff>
    </xdr:from>
    <xdr:to>
      <xdr:col>5</xdr:col>
      <xdr:colOff>2246630</xdr:colOff>
      <xdr:row>3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81425" y="659765"/>
          <a:ext cx="2177415" cy="128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tabSelected="1" view="pageBreakPreview" zoomScaleNormal="100" workbookViewId="0">
      <selection activeCell="F6" sqref="F6"/>
    </sheetView>
  </sheetViews>
  <sheetFormatPr defaultColWidth="9" defaultRowHeight="14.4" outlineLevelCol="7"/>
  <cols>
    <col min="1" max="1" width="9" style="1"/>
    <col min="2" max="2" width="4.75" customWidth="1"/>
    <col min="3" max="3" width="10.75" customWidth="1"/>
    <col min="4" max="4" width="21" customWidth="1"/>
    <col min="5" max="5" width="8.62962962962963" customWidth="1"/>
    <col min="6" max="6" width="64.6296296296296" customWidth="1"/>
    <col min="7" max="7" width="10.5" customWidth="1"/>
    <col min="8" max="8" width="17.5" customWidth="1"/>
  </cols>
  <sheetData>
    <row r="1" ht="13.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11" customHeight="1" spans="1:8">
      <c r="A2" s="2"/>
      <c r="B2" s="2"/>
      <c r="C2" s="2"/>
      <c r="D2" s="2"/>
      <c r="E2" s="2"/>
      <c r="F2" s="2"/>
      <c r="G2" s="2"/>
      <c r="H2" s="2"/>
    </row>
    <row r="3" ht="24.75" customHeight="1" spans="1:8">
      <c r="A3" s="3" t="s">
        <v>1</v>
      </c>
      <c r="B3" s="4" t="s">
        <v>2</v>
      </c>
      <c r="C3" s="4"/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</row>
    <row r="4" spans="1:8">
      <c r="A4" s="6">
        <f>ROW()-3</f>
        <v>1</v>
      </c>
      <c r="B4" s="7" t="s">
        <v>8</v>
      </c>
      <c r="C4" s="7"/>
      <c r="D4" s="8" t="s">
        <v>9</v>
      </c>
      <c r="E4" s="8" t="s">
        <v>10</v>
      </c>
      <c r="F4" s="8"/>
      <c r="G4" s="8" t="s">
        <v>11</v>
      </c>
      <c r="H4" s="8" t="s">
        <v>12</v>
      </c>
    </row>
    <row r="5" spans="1:8">
      <c r="A5" s="6">
        <f t="shared" ref="A5:A14" si="0">ROW()-3</f>
        <v>2</v>
      </c>
      <c r="B5" s="7"/>
      <c r="C5" s="7"/>
      <c r="D5" s="8" t="s">
        <v>13</v>
      </c>
      <c r="E5" s="8" t="s">
        <v>14</v>
      </c>
      <c r="F5" s="8" t="s">
        <v>15</v>
      </c>
      <c r="G5" s="8" t="s">
        <v>16</v>
      </c>
      <c r="H5" s="8" t="s">
        <v>12</v>
      </c>
    </row>
    <row r="6" spans="1:8">
      <c r="A6" s="6">
        <f t="shared" si="0"/>
        <v>3</v>
      </c>
      <c r="B6" s="7"/>
      <c r="C6" s="7"/>
      <c r="D6" s="8" t="s">
        <v>17</v>
      </c>
      <c r="E6" s="8" t="s">
        <v>18</v>
      </c>
      <c r="F6" s="8" t="s">
        <v>19</v>
      </c>
      <c r="G6" s="8" t="s">
        <v>16</v>
      </c>
      <c r="H6" s="8" t="s">
        <v>12</v>
      </c>
    </row>
    <row r="7" spans="1:8">
      <c r="A7" s="6">
        <f t="shared" si="0"/>
        <v>4</v>
      </c>
      <c r="B7" s="7"/>
      <c r="C7" s="7"/>
      <c r="D7" s="8" t="s">
        <v>20</v>
      </c>
      <c r="E7" s="8" t="s">
        <v>18</v>
      </c>
      <c r="F7" s="8" t="s">
        <v>21</v>
      </c>
      <c r="G7" s="8" t="s">
        <v>16</v>
      </c>
      <c r="H7" s="8" t="s">
        <v>22</v>
      </c>
    </row>
    <row r="8" spans="1:8">
      <c r="A8" s="6">
        <f t="shared" si="0"/>
        <v>5</v>
      </c>
      <c r="B8" s="7" t="s">
        <v>23</v>
      </c>
      <c r="C8" s="7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 t="s">
        <v>29</v>
      </c>
    </row>
    <row r="9" spans="1:8">
      <c r="A9" s="6">
        <f t="shared" si="0"/>
        <v>6</v>
      </c>
      <c r="B9" s="7"/>
      <c r="C9" s="7" t="s">
        <v>30</v>
      </c>
      <c r="D9" s="8" t="s">
        <v>31</v>
      </c>
      <c r="E9" s="8" t="s">
        <v>26</v>
      </c>
      <c r="F9" s="8" t="s">
        <v>32</v>
      </c>
      <c r="G9" s="8" t="s">
        <v>28</v>
      </c>
      <c r="H9" s="8" t="s">
        <v>29</v>
      </c>
    </row>
    <row r="10" spans="1:8">
      <c r="A10" s="6">
        <f t="shared" si="0"/>
        <v>7</v>
      </c>
      <c r="B10" s="7"/>
      <c r="C10" s="7" t="s">
        <v>33</v>
      </c>
      <c r="D10" s="8" t="s">
        <v>34</v>
      </c>
      <c r="E10" s="8" t="s">
        <v>26</v>
      </c>
      <c r="F10" s="8" t="s">
        <v>35</v>
      </c>
      <c r="G10" s="8" t="s">
        <v>28</v>
      </c>
      <c r="H10" s="8" t="s">
        <v>29</v>
      </c>
    </row>
    <row r="11" spans="1:8">
      <c r="A11" s="6">
        <f t="shared" si="0"/>
        <v>8</v>
      </c>
      <c r="B11" s="7"/>
      <c r="C11" s="7" t="s">
        <v>36</v>
      </c>
      <c r="D11" s="8" t="s">
        <v>37</v>
      </c>
      <c r="E11" s="8" t="s">
        <v>26</v>
      </c>
      <c r="F11" s="8" t="s">
        <v>38</v>
      </c>
      <c r="G11" s="8" t="s">
        <v>28</v>
      </c>
      <c r="H11" s="8" t="s">
        <v>29</v>
      </c>
    </row>
    <row r="12" spans="1:8">
      <c r="A12" s="6">
        <v>9</v>
      </c>
      <c r="B12" s="7"/>
      <c r="C12" s="7" t="s">
        <v>39</v>
      </c>
      <c r="D12" s="8" t="s">
        <v>40</v>
      </c>
      <c r="E12" s="8" t="s">
        <v>10</v>
      </c>
      <c r="F12" s="8" t="s">
        <v>41</v>
      </c>
      <c r="G12" s="8" t="s">
        <v>28</v>
      </c>
      <c r="H12" s="8" t="s">
        <v>29</v>
      </c>
    </row>
    <row r="13" spans="1:8">
      <c r="A13" s="6">
        <f>ROW()-3</f>
        <v>10</v>
      </c>
      <c r="B13" s="7"/>
      <c r="C13" s="7" t="s">
        <v>42</v>
      </c>
      <c r="D13" s="8" t="s">
        <v>43</v>
      </c>
      <c r="E13" s="8" t="s">
        <v>44</v>
      </c>
      <c r="F13" s="8" t="s">
        <v>45</v>
      </c>
      <c r="G13" s="8" t="s">
        <v>16</v>
      </c>
      <c r="H13" s="8" t="s">
        <v>29</v>
      </c>
    </row>
    <row r="14" spans="1:8">
      <c r="A14" s="6">
        <f>ROW()-3</f>
        <v>11</v>
      </c>
      <c r="B14" s="7" t="s">
        <v>46</v>
      </c>
      <c r="C14" s="7" t="s">
        <v>47</v>
      </c>
      <c r="D14" s="8" t="s">
        <v>48</v>
      </c>
      <c r="E14" s="8" t="s">
        <v>18</v>
      </c>
      <c r="F14" s="8" t="s">
        <v>49</v>
      </c>
      <c r="G14" s="8" t="s">
        <v>16</v>
      </c>
      <c r="H14" s="8" t="s">
        <v>22</v>
      </c>
    </row>
    <row r="15" spans="1:8">
      <c r="A15" s="6">
        <f t="shared" ref="A15:A24" si="1">ROW()-3</f>
        <v>12</v>
      </c>
      <c r="B15" s="7"/>
      <c r="C15" s="7" t="s">
        <v>50</v>
      </c>
      <c r="D15" s="8" t="s">
        <v>51</v>
      </c>
      <c r="E15" s="8" t="s">
        <v>10</v>
      </c>
      <c r="F15" s="8" t="s">
        <v>52</v>
      </c>
      <c r="G15" s="8" t="s">
        <v>28</v>
      </c>
      <c r="H15" s="8" t="s">
        <v>22</v>
      </c>
    </row>
    <row r="16" spans="1:8">
      <c r="A16" s="6">
        <f t="shared" si="1"/>
        <v>13</v>
      </c>
      <c r="B16" s="7"/>
      <c r="C16" s="7" t="s">
        <v>53</v>
      </c>
      <c r="D16" s="8" t="s">
        <v>54</v>
      </c>
      <c r="E16" s="8" t="s">
        <v>10</v>
      </c>
      <c r="F16" s="8" t="s">
        <v>55</v>
      </c>
      <c r="G16" s="8" t="s">
        <v>28</v>
      </c>
      <c r="H16" s="8" t="s">
        <v>22</v>
      </c>
    </row>
    <row r="17" spans="1:8">
      <c r="A17" s="6">
        <f t="shared" si="1"/>
        <v>14</v>
      </c>
      <c r="B17" s="7"/>
      <c r="C17" s="7" t="s">
        <v>56</v>
      </c>
      <c r="D17" s="8" t="s">
        <v>57</v>
      </c>
      <c r="E17" s="8" t="s">
        <v>10</v>
      </c>
      <c r="F17" s="8" t="s">
        <v>58</v>
      </c>
      <c r="G17" s="8" t="s">
        <v>59</v>
      </c>
      <c r="H17" s="8" t="s">
        <v>22</v>
      </c>
    </row>
    <row r="18" spans="1:8">
      <c r="A18" s="6">
        <f t="shared" si="1"/>
        <v>15</v>
      </c>
      <c r="B18" s="7"/>
      <c r="C18" s="7"/>
      <c r="D18" s="8" t="s">
        <v>60</v>
      </c>
      <c r="E18" s="8" t="s">
        <v>10</v>
      </c>
      <c r="F18" s="8" t="s">
        <v>61</v>
      </c>
      <c r="G18" s="8" t="s">
        <v>28</v>
      </c>
      <c r="H18" s="8" t="s">
        <v>22</v>
      </c>
    </row>
    <row r="19" spans="1:8">
      <c r="A19" s="6">
        <f t="shared" si="1"/>
        <v>16</v>
      </c>
      <c r="B19" s="7"/>
      <c r="C19" s="7" t="s">
        <v>62</v>
      </c>
      <c r="D19" s="8" t="s">
        <v>63</v>
      </c>
      <c r="E19" s="8" t="s">
        <v>10</v>
      </c>
      <c r="F19" s="8" t="s">
        <v>64</v>
      </c>
      <c r="G19" s="8" t="s">
        <v>28</v>
      </c>
      <c r="H19" s="8" t="s">
        <v>22</v>
      </c>
    </row>
    <row r="20" spans="1:8">
      <c r="A20" s="6">
        <f t="shared" si="1"/>
        <v>17</v>
      </c>
      <c r="B20" s="7"/>
      <c r="C20" s="7"/>
      <c r="D20" s="8" t="s">
        <v>65</v>
      </c>
      <c r="E20" s="8" t="s">
        <v>10</v>
      </c>
      <c r="F20" s="8" t="s">
        <v>66</v>
      </c>
      <c r="G20" s="8" t="s">
        <v>28</v>
      </c>
      <c r="H20" s="8" t="s">
        <v>22</v>
      </c>
    </row>
    <row r="21" spans="1:8">
      <c r="A21" s="6">
        <f t="shared" si="1"/>
        <v>18</v>
      </c>
      <c r="B21" s="7"/>
      <c r="C21" s="7" t="s">
        <v>67</v>
      </c>
      <c r="D21" s="8" t="s">
        <v>68</v>
      </c>
      <c r="E21" s="8" t="s">
        <v>26</v>
      </c>
      <c r="F21" s="8" t="s">
        <v>69</v>
      </c>
      <c r="G21" s="8" t="s">
        <v>70</v>
      </c>
      <c r="H21" s="8" t="s">
        <v>22</v>
      </c>
    </row>
    <row r="22" spans="1:8">
      <c r="A22" s="6">
        <f t="shared" si="1"/>
        <v>19</v>
      </c>
      <c r="B22" s="7"/>
      <c r="C22" s="7" t="s">
        <v>71</v>
      </c>
      <c r="D22" s="8" t="s">
        <v>72</v>
      </c>
      <c r="E22" s="8" t="s">
        <v>73</v>
      </c>
      <c r="F22" s="8" t="s">
        <v>74</v>
      </c>
      <c r="G22" s="8" t="s">
        <v>59</v>
      </c>
      <c r="H22" s="8" t="s">
        <v>22</v>
      </c>
    </row>
    <row r="23" spans="1:8">
      <c r="A23" s="6">
        <f t="shared" si="1"/>
        <v>20</v>
      </c>
      <c r="B23" s="7"/>
      <c r="C23" s="7" t="s">
        <v>75</v>
      </c>
      <c r="D23" s="8" t="s">
        <v>76</v>
      </c>
      <c r="E23" s="8" t="s">
        <v>73</v>
      </c>
      <c r="F23" s="8" t="s">
        <v>77</v>
      </c>
      <c r="G23" s="8" t="s">
        <v>59</v>
      </c>
      <c r="H23" s="8" t="s">
        <v>22</v>
      </c>
    </row>
    <row r="24" spans="1:8">
      <c r="A24" s="6">
        <f t="shared" si="1"/>
        <v>21</v>
      </c>
      <c r="B24" s="7"/>
      <c r="C24" s="7" t="s">
        <v>78</v>
      </c>
      <c r="D24" s="8" t="s">
        <v>79</v>
      </c>
      <c r="E24" s="8" t="s">
        <v>10</v>
      </c>
      <c r="F24" s="8" t="s">
        <v>80</v>
      </c>
      <c r="G24" s="8" t="s">
        <v>59</v>
      </c>
      <c r="H24" s="8" t="s">
        <v>22</v>
      </c>
    </row>
    <row r="25" spans="1:8">
      <c r="A25" s="6">
        <f t="shared" ref="A25:A36" si="2">ROW()-3</f>
        <v>22</v>
      </c>
      <c r="B25" s="7"/>
      <c r="C25" s="7"/>
      <c r="D25" s="8" t="s">
        <v>81</v>
      </c>
      <c r="E25" s="8" t="s">
        <v>82</v>
      </c>
      <c r="F25" s="8" t="s">
        <v>83</v>
      </c>
      <c r="G25" s="8" t="s">
        <v>59</v>
      </c>
      <c r="H25" s="8" t="s">
        <v>22</v>
      </c>
    </row>
    <row r="26" spans="1:8">
      <c r="A26" s="6">
        <f t="shared" si="2"/>
        <v>23</v>
      </c>
      <c r="B26" s="7"/>
      <c r="C26" s="7" t="s">
        <v>84</v>
      </c>
      <c r="D26" s="8" t="s">
        <v>85</v>
      </c>
      <c r="E26" s="8" t="s">
        <v>82</v>
      </c>
      <c r="F26" s="8" t="s">
        <v>86</v>
      </c>
      <c r="G26" s="8" t="s">
        <v>16</v>
      </c>
      <c r="H26" s="8" t="s">
        <v>22</v>
      </c>
    </row>
    <row r="27" spans="1:8">
      <c r="A27" s="6">
        <f t="shared" si="2"/>
        <v>24</v>
      </c>
      <c r="B27" s="7"/>
      <c r="C27" s="7" t="s">
        <v>87</v>
      </c>
      <c r="D27" s="8" t="s">
        <v>88</v>
      </c>
      <c r="E27" s="8" t="s">
        <v>82</v>
      </c>
      <c r="F27" s="8" t="s">
        <v>89</v>
      </c>
      <c r="G27" s="8" t="s">
        <v>16</v>
      </c>
      <c r="H27" s="8" t="s">
        <v>22</v>
      </c>
    </row>
    <row r="28" spans="1:8">
      <c r="A28" s="6">
        <f t="shared" si="2"/>
        <v>25</v>
      </c>
      <c r="B28" s="7" t="s">
        <v>90</v>
      </c>
      <c r="C28" s="7"/>
      <c r="D28" s="8" t="s">
        <v>91</v>
      </c>
      <c r="E28" s="8" t="s">
        <v>44</v>
      </c>
      <c r="F28" s="8" t="s">
        <v>92</v>
      </c>
      <c r="G28" s="8" t="s">
        <v>28</v>
      </c>
      <c r="H28" s="8" t="s">
        <v>93</v>
      </c>
    </row>
    <row r="29" spans="1:8">
      <c r="A29" s="6">
        <f t="shared" si="2"/>
        <v>26</v>
      </c>
      <c r="B29" s="7"/>
      <c r="C29" s="7"/>
      <c r="D29" s="8" t="s">
        <v>94</v>
      </c>
      <c r="E29" s="8" t="s">
        <v>95</v>
      </c>
      <c r="F29" s="8" t="s">
        <v>96</v>
      </c>
      <c r="G29" s="8" t="s">
        <v>16</v>
      </c>
      <c r="H29" s="8" t="s">
        <v>93</v>
      </c>
    </row>
    <row r="30" spans="1:8">
      <c r="A30" s="6">
        <f t="shared" si="2"/>
        <v>27</v>
      </c>
      <c r="B30" s="7" t="s">
        <v>97</v>
      </c>
      <c r="C30" s="7" t="s">
        <v>98</v>
      </c>
      <c r="D30" s="8" t="s">
        <v>99</v>
      </c>
      <c r="E30" s="8" t="s">
        <v>26</v>
      </c>
      <c r="F30" s="8" t="s">
        <v>100</v>
      </c>
      <c r="G30" s="8" t="s">
        <v>28</v>
      </c>
      <c r="H30" s="8" t="s">
        <v>22</v>
      </c>
    </row>
    <row r="31" spans="1:8">
      <c r="A31" s="6">
        <f t="shared" si="2"/>
        <v>28</v>
      </c>
      <c r="B31" s="7"/>
      <c r="C31" s="7" t="s">
        <v>101</v>
      </c>
      <c r="D31" s="8" t="s">
        <v>102</v>
      </c>
      <c r="E31" s="8" t="s">
        <v>10</v>
      </c>
      <c r="F31" s="8" t="s">
        <v>103</v>
      </c>
      <c r="G31" s="8" t="s">
        <v>28</v>
      </c>
      <c r="H31" s="8" t="s">
        <v>22</v>
      </c>
    </row>
    <row r="32" ht="15.6" spans="1:8">
      <c r="A32" s="6">
        <v>29</v>
      </c>
      <c r="B32" s="7"/>
      <c r="C32" s="9" t="s">
        <v>104</v>
      </c>
      <c r="D32" s="8" t="s">
        <v>105</v>
      </c>
      <c r="E32" s="8" t="s">
        <v>26</v>
      </c>
      <c r="F32" s="8" t="s">
        <v>106</v>
      </c>
      <c r="G32" s="8" t="s">
        <v>16</v>
      </c>
      <c r="H32" s="8" t="s">
        <v>22</v>
      </c>
    </row>
    <row r="33" ht="15.6" spans="1:8">
      <c r="A33" s="6">
        <v>30</v>
      </c>
      <c r="B33" s="7"/>
      <c r="C33" s="10"/>
      <c r="D33" s="8" t="s">
        <v>107</v>
      </c>
      <c r="E33" s="8" t="s">
        <v>73</v>
      </c>
      <c r="F33" s="8" t="s">
        <v>108</v>
      </c>
      <c r="G33" s="8" t="s">
        <v>28</v>
      </c>
      <c r="H33" s="8" t="s">
        <v>22</v>
      </c>
    </row>
    <row r="34" spans="1:8">
      <c r="A34" s="6">
        <f>ROW()-3</f>
        <v>31</v>
      </c>
      <c r="B34" s="7"/>
      <c r="C34" s="7" t="s">
        <v>109</v>
      </c>
      <c r="D34" s="8" t="s">
        <v>110</v>
      </c>
      <c r="E34" s="8" t="s">
        <v>111</v>
      </c>
      <c r="F34" s="8" t="s">
        <v>112</v>
      </c>
      <c r="G34" s="8" t="s">
        <v>28</v>
      </c>
      <c r="H34" s="8" t="s">
        <v>22</v>
      </c>
    </row>
    <row r="35" ht="16" customHeight="1" spans="1:8">
      <c r="A35" s="6">
        <f>ROW()-3</f>
        <v>32</v>
      </c>
      <c r="B35" s="7"/>
      <c r="C35" s="7" t="s">
        <v>113</v>
      </c>
      <c r="D35" s="8" t="s">
        <v>114</v>
      </c>
      <c r="E35" s="8" t="s">
        <v>18</v>
      </c>
      <c r="F35" s="8" t="s">
        <v>115</v>
      </c>
      <c r="G35" s="8" t="s">
        <v>70</v>
      </c>
      <c r="H35" s="8" t="s">
        <v>93</v>
      </c>
    </row>
    <row r="36" spans="1:8">
      <c r="A36" s="6">
        <f>ROW()-3</f>
        <v>33</v>
      </c>
      <c r="B36" s="7"/>
      <c r="C36" s="7" t="s">
        <v>116</v>
      </c>
      <c r="D36" s="8" t="s">
        <v>117</v>
      </c>
      <c r="E36" s="8" t="s">
        <v>118</v>
      </c>
      <c r="F36" s="8" t="s">
        <v>119</v>
      </c>
      <c r="G36" s="8" t="s">
        <v>28</v>
      </c>
      <c r="H36" s="8" t="s">
        <v>22</v>
      </c>
    </row>
    <row r="37" spans="1:8">
      <c r="A37" s="6">
        <f>ROW()-3</f>
        <v>34</v>
      </c>
      <c r="B37" s="7" t="s">
        <v>120</v>
      </c>
      <c r="C37" s="7"/>
      <c r="D37" s="8" t="s">
        <v>121</v>
      </c>
      <c r="E37" s="11">
        <v>1</v>
      </c>
      <c r="F37" s="8" t="s">
        <v>122</v>
      </c>
      <c r="G37" s="8" t="s">
        <v>16</v>
      </c>
      <c r="H37" s="8" t="s">
        <v>22</v>
      </c>
    </row>
    <row r="38" spans="1:8">
      <c r="A38" s="6">
        <f>ROW()-3</f>
        <v>35</v>
      </c>
      <c r="B38" s="7" t="s">
        <v>123</v>
      </c>
      <c r="C38" s="7"/>
      <c r="D38" s="8" t="s">
        <v>124</v>
      </c>
      <c r="E38" s="8" t="s">
        <v>18</v>
      </c>
      <c r="F38" s="8" t="s">
        <v>125</v>
      </c>
      <c r="G38" s="8" t="s">
        <v>16</v>
      </c>
      <c r="H38" s="8" t="s">
        <v>22</v>
      </c>
    </row>
  </sheetData>
  <mergeCells count="13">
    <mergeCell ref="B3:C3"/>
    <mergeCell ref="B37:C37"/>
    <mergeCell ref="B38:C38"/>
    <mergeCell ref="B8:B13"/>
    <mergeCell ref="B14:B27"/>
    <mergeCell ref="B30:B36"/>
    <mergeCell ref="C17:C18"/>
    <mergeCell ref="C19:C20"/>
    <mergeCell ref="C24:C25"/>
    <mergeCell ref="C32:C33"/>
    <mergeCell ref="B4:C7"/>
    <mergeCell ref="B28:C29"/>
    <mergeCell ref="A1:H2"/>
  </mergeCells>
  <pageMargins left="0.707638888888889" right="0.511805555555556" top="0.747916666666667" bottom="0.747916666666667" header="0.313888888888889" footer="0.313888888888889"/>
  <pageSetup paperSize="9" scale="9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2014-02-13T07:30:00Z</cp:lastPrinted>
  <dcterms:modified xsi:type="dcterms:W3CDTF">2026-04-25T14:46:46Z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